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to Point07\docs\"/>
    </mc:Choice>
  </mc:AlternateContent>
  <xr:revisionPtr revIDLastSave="0" documentId="13_ncr:1_{37CC9F73-BE13-4246-9277-AA60DCED287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Premissas" sheetId="1" r:id="rId1"/>
    <sheet name="Cronogram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" i="2" l="1"/>
  <c r="E11" i="2"/>
  <c r="F11" i="2" s="1"/>
  <c r="H10" i="2"/>
  <c r="G10" i="2"/>
  <c r="H9" i="2"/>
  <c r="G9" i="2"/>
  <c r="H8" i="2"/>
  <c r="G8" i="2"/>
  <c r="H7" i="2"/>
  <c r="G7" i="2"/>
  <c r="H6" i="2"/>
  <c r="G6" i="2"/>
  <c r="H5" i="2"/>
  <c r="G5" i="2"/>
  <c r="H11" i="2" l="1"/>
  <c r="E12" i="2"/>
  <c r="E14" i="2"/>
  <c r="G14" i="2" s="1"/>
  <c r="F14" i="2"/>
  <c r="H14" i="2" s="1"/>
  <c r="F12" i="2" l="1"/>
  <c r="G12" i="2"/>
  <c r="H12" i="2" l="1"/>
  <c r="E13" i="2"/>
  <c r="F13" i="2" l="1"/>
  <c r="G13" i="2"/>
  <c r="F15" i="2" l="1"/>
  <c r="H13" i="2"/>
  <c r="E15" i="2"/>
  <c r="G15" i="2" s="1"/>
  <c r="H15" i="2" l="1"/>
  <c r="G17" i="2" s="1"/>
  <c r="H17" i="2" s="1"/>
  <c r="E19" i="2"/>
</calcChain>
</file>

<file path=xl/sharedStrings.xml><?xml version="1.0" encoding="utf-8"?>
<sst xmlns="http://schemas.openxmlformats.org/spreadsheetml/2006/main" count="101" uniqueCount="66">
  <si>
    <t>Point07 — Premissas do Cronograma</t>
  </si>
  <si>
    <t>Innovation Consultoria — base contratual: CONTRATO_Point07_Innovation.docx (assinado, set/2026)</t>
  </si>
  <si>
    <t>Parâmetro</t>
  </si>
  <si>
    <t>Valor</t>
  </si>
  <si>
    <t>Unidade</t>
  </si>
  <si>
    <t>Fonte contratual / observação</t>
  </si>
  <si>
    <t>Data de Kick-off (assinatura + 1ª parcela do setup)</t>
  </si>
  <si>
    <t>data</t>
  </si>
  <si>
    <t>⚠️ A CONFIRMAR COM O CLIENTE — data de exemplo (ajustar para a data real de início da contagem do prazo). Contrato, Cláusula Terceira, caput.</t>
  </si>
  <si>
    <t>Prazo total até o Aceite Formal</t>
  </si>
  <si>
    <t>dias úteis</t>
  </si>
  <si>
    <t>Contrato, Cláusula Terceira, §4º.</t>
  </si>
  <si>
    <t>Duração da homologação do cliente</t>
  </si>
  <si>
    <t>Contrato, Cláusula Quarta, §1º.</t>
  </si>
  <si>
    <t>Duração da correção pela Innovation (se homologação apontar pendências)</t>
  </si>
  <si>
    <t>Contrato, Cláusula Quarta, §4º.</t>
  </si>
  <si>
    <t>Duração da nova verificação do cliente (se houve correção)</t>
  </si>
  <si>
    <t>Garantia pós-entrega (independente de homologação)</t>
  </si>
  <si>
    <t>dias corridos</t>
  </si>
  <si>
    <t>Contrato, Cláusula Sétima.</t>
  </si>
  <si>
    <t>Legenda</t>
  </si>
  <si>
    <t>Célula amarela</t>
  </si>
  <si>
    <t>Entrada — pode/deve ser ajustada por Patrick (ex.: data real de kick-off).</t>
  </si>
  <si>
    <t>Célula branca</t>
  </si>
  <si>
    <t>Calculada por fórmula a partir das Premissas — não editar diretamente.</t>
  </si>
  <si>
    <t>Nota: os dias úteis abaixo seguem a contagem 'Dia 0 = data de kick-off' definida no Anexo II do contrato. 'Dias corridos' (garantia) contam calendário normal, não dias úteis.</t>
  </si>
  <si>
    <t>Point07 — Cronograma do Projeto (Anexo II + fases internas)</t>
  </si>
  <si>
    <t>Datas calculadas automaticamente a partir da Premissas (aba 'Premissas'). Ajuste a data de Kick-off lá — este cronograma recalcula sozinho.</t>
  </si>
  <si>
    <t>#</t>
  </si>
  <si>
    <t>Fase / Entrega</t>
  </si>
  <si>
    <t>Responsável</t>
  </si>
  <si>
    <t>Tipo de prazo</t>
  </si>
  <si>
    <t>Dia útil início (nº)</t>
  </si>
  <si>
    <t>Dia útil fim (nº)</t>
  </si>
  <si>
    <t>Data início</t>
  </si>
  <si>
    <t>Data fim</t>
  </si>
  <si>
    <t>Kick-off (assinatura do contrato + pagamento da 1ª parcela do setup)</t>
  </si>
  <si>
    <t>Innovation / Cliente</t>
  </si>
  <si>
    <t>Dia útil (base)</t>
  </si>
  <si>
    <t>Contrato, Cláusula Terceira, caput.</t>
  </si>
  <si>
    <t>Configuração de infraestrutura e ambiente local de desenvolvimento</t>
  </si>
  <si>
    <t>Innovation</t>
  </si>
  <si>
    <t>Dias úteis</t>
  </si>
  <si>
    <t>Anexo II — Cronograma.</t>
  </si>
  <si>
    <t>Desenvolvimento — Módulo Cardápio (Gestão de Cardápio + Cardápio Público)</t>
  </si>
  <si>
    <t>Desenvolvimento — Módulo Salão (Chamada de Garçom + Registro de Eventos + Painel Gerencial)</t>
  </si>
  <si>
    <t>Testes internos (Innovation)</t>
  </si>
  <si>
    <t>Disponibilização do ambiente para homologação do cliente</t>
  </si>
  <si>
    <t>Contrato, Cláusula Terceira, caput ("...com a disponibilização do ambiente para homologação, em até 20 dias úteis") + Anexo II.</t>
  </si>
  <si>
    <t>Homologação do cliente</t>
  </si>
  <si>
    <t>Cliente</t>
  </si>
  <si>
    <t>Ajustes / correções pela Innovation (somente se a homologação apontar pendências)</t>
  </si>
  <si>
    <t>Dias úteis, condicional</t>
  </si>
  <si>
    <t>Nova verificação do cliente (somente se houve correção)</t>
  </si>
  <si>
    <t>Aceite Formal — cenário sem pendências (melhor caso: homologação aprovada de primeira)</t>
  </si>
  <si>
    <t>Aceite Formal — cenário com correção completa (pior caso, limite contratual)</t>
  </si>
  <si>
    <t>Contrato, Cláusula Terceira, §4º (limite de 30 dias úteis).</t>
  </si>
  <si>
    <t>Treinamento da equipe do cliente (Administrador e Garçons)</t>
  </si>
  <si>
    <t>A combinar</t>
  </si>
  <si>
    <t>Anexo II — Cronograma ("A combinar").</t>
  </si>
  <si>
    <t>Garantia pós-entrega (corre independente de haver ou não homologação com pendências)</t>
  </si>
  <si>
    <t>Dias corridos</t>
  </si>
  <si>
    <t>—</t>
  </si>
  <si>
    <t>Contrato, Cláusula Sétima (30 dias corridos após a entrega).</t>
  </si>
  <si>
    <t>Verificação de prazo</t>
  </si>
  <si>
    <t>Notas: (1) Os dias 1–17 (infraestrutura, desenvolvimento e testes internos) seguem os intervalos fixados no Anexo II do contrato assinado — são dados de entrada (células amarelas), não fórmulas, porque representam o cronograma de desenvolvimento tal como aprovado com o cliente, e podem ser ajustados aqui se o plano de desenvolvimento mudar. (2) As linhas 7 a 11 (homologação, correção, nova verificação e Aceite Formal) são 100% calculadas a partir da aba Premissas — mudar as durações lá recalcula tudo aqui. (3) O cenário 'pior caso' assume que a homologação aponta pendências e a correção completa é usada; na prática o Aceite Formal pode ocorrer antes disso, como no cenário 'melhor caso' (linha 10).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</si>
</sst>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0A2A4D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B07B2E"/>
        <bgColor rgb="FF8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6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5" fillId="4" borderId="0" xfId="0" applyFont="1" applyFill="1" applyAlignment="1">
      <alignment vertical="center"/>
    </xf>
    <xf numFmtId="0" fontId="2" fillId="0" borderId="0" xfId="0" applyFont="1"/>
    <xf numFmtId="0" fontId="1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4" fontId="4" fillId="3" borderId="1" xfId="0" applyNumberFormat="1" applyFont="1" applyFill="1" applyBorder="1"/>
    <xf numFmtId="0" fontId="4" fillId="0" borderId="1" xfId="0" applyFont="1" applyBorder="1" applyAlignment="1">
      <alignment vertical="center" wrapText="1"/>
    </xf>
    <xf numFmtId="1" fontId="4" fillId="3" borderId="1" xfId="0" applyNumberFormat="1" applyFont="1" applyFill="1" applyBorder="1"/>
    <xf numFmtId="0" fontId="4" fillId="3" borderId="1" xfId="0" applyFont="1" applyFill="1" applyBorder="1"/>
    <xf numFmtId="1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B2E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A2A4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defaultColWidth="8.6640625" defaultRowHeight="14.4" x14ac:dyDescent="0.3"/>
  <cols>
    <col min="1" max="1" width="46" customWidth="1"/>
    <col min="2" max="2" width="14" customWidth="1"/>
    <col min="3" max="3" width="12" customWidth="1"/>
    <col min="4" max="4" width="55" customWidth="1"/>
  </cols>
  <sheetData>
    <row r="1" spans="1:4" ht="24" customHeight="1" x14ac:dyDescent="0.3">
      <c r="A1" s="6" t="s">
        <v>0</v>
      </c>
      <c r="B1" s="6"/>
      <c r="C1" s="6"/>
      <c r="D1" s="6"/>
    </row>
    <row r="2" spans="1:4" x14ac:dyDescent="0.3">
      <c r="A2" s="5" t="s">
        <v>1</v>
      </c>
      <c r="B2" s="5"/>
      <c r="C2" s="5"/>
      <c r="D2" s="5"/>
    </row>
    <row r="4" spans="1:4" x14ac:dyDescent="0.3">
      <c r="A4" s="7" t="s">
        <v>2</v>
      </c>
      <c r="B4" s="7" t="s">
        <v>3</v>
      </c>
      <c r="C4" s="7" t="s">
        <v>4</v>
      </c>
      <c r="D4" s="7" t="s">
        <v>5</v>
      </c>
    </row>
    <row r="5" spans="1:4" ht="39.6" x14ac:dyDescent="0.3">
      <c r="A5" s="8" t="s">
        <v>6</v>
      </c>
      <c r="B5" s="9">
        <v>46274</v>
      </c>
      <c r="C5" s="8" t="s">
        <v>7</v>
      </c>
      <c r="D5" s="10" t="s">
        <v>8</v>
      </c>
    </row>
    <row r="6" spans="1:4" x14ac:dyDescent="0.3">
      <c r="A6" s="8" t="s">
        <v>9</v>
      </c>
      <c r="B6" s="11">
        <v>30</v>
      </c>
      <c r="C6" s="8" t="s">
        <v>10</v>
      </c>
      <c r="D6" s="10" t="s">
        <v>11</v>
      </c>
    </row>
    <row r="7" spans="1:4" x14ac:dyDescent="0.3">
      <c r="A7" s="8" t="s">
        <v>12</v>
      </c>
      <c r="B7" s="11">
        <v>5</v>
      </c>
      <c r="C7" s="8" t="s">
        <v>10</v>
      </c>
      <c r="D7" s="10" t="s">
        <v>13</v>
      </c>
    </row>
    <row r="8" spans="1:4" x14ac:dyDescent="0.3">
      <c r="A8" s="8" t="s">
        <v>14</v>
      </c>
      <c r="B8" s="11">
        <v>5</v>
      </c>
      <c r="C8" s="8" t="s">
        <v>10</v>
      </c>
      <c r="D8" s="10" t="s">
        <v>15</v>
      </c>
    </row>
    <row r="9" spans="1:4" x14ac:dyDescent="0.3">
      <c r="A9" s="8" t="s">
        <v>16</v>
      </c>
      <c r="B9" s="11">
        <v>3</v>
      </c>
      <c r="C9" s="8" t="s">
        <v>10</v>
      </c>
      <c r="D9" s="10" t="s">
        <v>15</v>
      </c>
    </row>
    <row r="10" spans="1:4" x14ac:dyDescent="0.3">
      <c r="A10" s="8" t="s">
        <v>17</v>
      </c>
      <c r="B10" s="11">
        <v>30</v>
      </c>
      <c r="C10" s="8" t="s">
        <v>18</v>
      </c>
      <c r="D10" s="10" t="s">
        <v>19</v>
      </c>
    </row>
    <row r="12" spans="1:4" x14ac:dyDescent="0.3">
      <c r="A12" s="4" t="s">
        <v>20</v>
      </c>
      <c r="B12" s="4"/>
      <c r="C12" s="4"/>
      <c r="D12" s="4"/>
    </row>
    <row r="13" spans="1:4" ht="15" customHeight="1" x14ac:dyDescent="0.3">
      <c r="A13" s="12" t="s">
        <v>21</v>
      </c>
      <c r="B13" s="3" t="s">
        <v>22</v>
      </c>
      <c r="C13" s="3"/>
      <c r="D13" s="3"/>
    </row>
    <row r="14" spans="1:4" ht="15" customHeight="1" x14ac:dyDescent="0.3">
      <c r="A14" s="8" t="s">
        <v>23</v>
      </c>
      <c r="B14" s="3" t="s">
        <v>24</v>
      </c>
      <c r="C14" s="3"/>
      <c r="D14" s="3"/>
    </row>
    <row r="16" spans="1:4" ht="30" customHeight="1" x14ac:dyDescent="0.3">
      <c r="A16" s="2" t="s">
        <v>25</v>
      </c>
      <c r="B16" s="2"/>
      <c r="C16" s="2"/>
      <c r="D16" s="2"/>
    </row>
  </sheetData>
  <mergeCells count="6">
    <mergeCell ref="A16:D16"/>
    <mergeCell ref="A1:D1"/>
    <mergeCell ref="A2:D2"/>
    <mergeCell ref="A12:D12"/>
    <mergeCell ref="B13:D13"/>
    <mergeCell ref="B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showGridLines="0" tabSelected="1" zoomScale="103" zoomScaleNormal="115" workbookViewId="0">
      <pane ySplit="4" topLeftCell="A10" activePane="bottomLeft" state="frozen"/>
      <selection pane="bottomLeft" activeCell="G10" sqref="G10"/>
    </sheetView>
  </sheetViews>
  <sheetFormatPr defaultColWidth="8.6640625" defaultRowHeight="14.4" x14ac:dyDescent="0.3"/>
  <cols>
    <col min="1" max="1" width="4" customWidth="1"/>
    <col min="2" max="2" width="46" customWidth="1"/>
    <col min="3" max="4" width="16" customWidth="1"/>
    <col min="5" max="6" width="12" customWidth="1"/>
    <col min="7" max="8" width="13" customWidth="1"/>
    <col min="9" max="9" width="40" customWidth="1"/>
  </cols>
  <sheetData>
    <row r="1" spans="1:9" ht="24" customHeight="1" x14ac:dyDescent="0.3">
      <c r="A1" s="6" t="s">
        <v>26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5" t="s">
        <v>27</v>
      </c>
      <c r="B2" s="5"/>
      <c r="C2" s="5"/>
      <c r="D2" s="5"/>
      <c r="E2" s="5"/>
      <c r="F2" s="5"/>
      <c r="G2" s="5"/>
      <c r="H2" s="5"/>
      <c r="I2" s="5"/>
    </row>
    <row r="4" spans="1:9" ht="30" customHeight="1" x14ac:dyDescent="0.3">
      <c r="A4" s="7" t="s">
        <v>28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  <c r="H4" s="7" t="s">
        <v>35</v>
      </c>
      <c r="I4" s="7" t="s">
        <v>5</v>
      </c>
    </row>
    <row r="5" spans="1:9" ht="26.4" x14ac:dyDescent="0.3">
      <c r="A5" s="8">
        <v>1</v>
      </c>
      <c r="B5" s="10" t="s">
        <v>36</v>
      </c>
      <c r="C5" s="8" t="s">
        <v>37</v>
      </c>
      <c r="D5" s="8" t="s">
        <v>38</v>
      </c>
      <c r="E5" s="8">
        <v>0</v>
      </c>
      <c r="F5" s="8">
        <v>0</v>
      </c>
      <c r="G5" s="13">
        <f>Premissas!$B$5</f>
        <v>46274</v>
      </c>
      <c r="H5" s="13">
        <f>Premissas!$B$5</f>
        <v>46274</v>
      </c>
      <c r="I5" s="10" t="s">
        <v>39</v>
      </c>
    </row>
    <row r="6" spans="1:9" ht="26.4" x14ac:dyDescent="0.3">
      <c r="A6" s="8">
        <v>2</v>
      </c>
      <c r="B6" s="10" t="s">
        <v>40</v>
      </c>
      <c r="C6" s="8" t="s">
        <v>41</v>
      </c>
      <c r="D6" s="8" t="s">
        <v>42</v>
      </c>
      <c r="E6" s="12">
        <v>1</v>
      </c>
      <c r="F6" s="12">
        <v>2</v>
      </c>
      <c r="G6" s="13">
        <f>WORKDAY(Premissas!$B$5,E6)</f>
        <v>46275</v>
      </c>
      <c r="H6" s="13">
        <f>WORKDAY(Premissas!$B$5,F6)</f>
        <v>46276</v>
      </c>
      <c r="I6" s="10" t="s">
        <v>43</v>
      </c>
    </row>
    <row r="7" spans="1:9" ht="26.4" x14ac:dyDescent="0.3">
      <c r="A7" s="8">
        <v>3</v>
      </c>
      <c r="B7" s="10" t="s">
        <v>44</v>
      </c>
      <c r="C7" s="8" t="s">
        <v>41</v>
      </c>
      <c r="D7" s="8" t="s">
        <v>42</v>
      </c>
      <c r="E7" s="12">
        <v>3</v>
      </c>
      <c r="F7" s="12">
        <v>9</v>
      </c>
      <c r="G7" s="13">
        <f>WORKDAY(Premissas!$B$5,E7)</f>
        <v>46279</v>
      </c>
      <c r="H7" s="13">
        <f>WORKDAY(Premissas!$B$5,F7)</f>
        <v>46287</v>
      </c>
      <c r="I7" s="10" t="s">
        <v>43</v>
      </c>
    </row>
    <row r="8" spans="1:9" ht="26.4" x14ac:dyDescent="0.3">
      <c r="A8" s="8">
        <v>4</v>
      </c>
      <c r="B8" s="10" t="s">
        <v>45</v>
      </c>
      <c r="C8" s="8" t="s">
        <v>41</v>
      </c>
      <c r="D8" s="8" t="s">
        <v>42</v>
      </c>
      <c r="E8" s="12">
        <v>7</v>
      </c>
      <c r="F8" s="12">
        <v>14</v>
      </c>
      <c r="G8" s="13">
        <f>WORKDAY(Premissas!$B$5,E8)</f>
        <v>46283</v>
      </c>
      <c r="H8" s="13">
        <f>WORKDAY(Premissas!$B$5,F8)</f>
        <v>46294</v>
      </c>
      <c r="I8" s="10" t="s">
        <v>43</v>
      </c>
    </row>
    <row r="9" spans="1:9" x14ac:dyDescent="0.3">
      <c r="A9" s="8">
        <v>5</v>
      </c>
      <c r="B9" s="10" t="s">
        <v>46</v>
      </c>
      <c r="C9" s="8" t="s">
        <v>41</v>
      </c>
      <c r="D9" s="8" t="s">
        <v>42</v>
      </c>
      <c r="E9" s="12">
        <v>15</v>
      </c>
      <c r="F9" s="12">
        <v>16</v>
      </c>
      <c r="G9" s="13">
        <f>WORKDAY(Premissas!$B$5,E9)</f>
        <v>46295</v>
      </c>
      <c r="H9" s="13">
        <f>WORKDAY(Premissas!$B$5,F9)</f>
        <v>46296</v>
      </c>
      <c r="I9" s="10" t="s">
        <v>43</v>
      </c>
    </row>
    <row r="10" spans="1:9" ht="52.8" x14ac:dyDescent="0.3">
      <c r="A10" s="8">
        <v>6</v>
      </c>
      <c r="B10" s="10" t="s">
        <v>47</v>
      </c>
      <c r="C10" s="8" t="s">
        <v>41</v>
      </c>
      <c r="D10" s="8" t="s">
        <v>42</v>
      </c>
      <c r="E10" s="12">
        <v>17</v>
      </c>
      <c r="F10" s="12">
        <v>17</v>
      </c>
      <c r="G10" s="13">
        <f>WORKDAY(Premissas!$B$5,E10)</f>
        <v>46297</v>
      </c>
      <c r="H10" s="13">
        <f>WORKDAY(Premissas!$B$5,F10)</f>
        <v>46297</v>
      </c>
      <c r="I10" s="10" t="s">
        <v>48</v>
      </c>
    </row>
    <row r="11" spans="1:9" x14ac:dyDescent="0.3">
      <c r="A11" s="8">
        <v>7</v>
      </c>
      <c r="B11" s="10" t="s">
        <v>49</v>
      </c>
      <c r="C11" s="8" t="s">
        <v>50</v>
      </c>
      <c r="D11" s="8" t="s">
        <v>42</v>
      </c>
      <c r="E11" s="8">
        <f>F10</f>
        <v>17</v>
      </c>
      <c r="F11" s="8">
        <f>E11+Premissas!$B$7-1</f>
        <v>21</v>
      </c>
      <c r="G11" s="13">
        <f>WORKDAY(Premissas!$B$5,E11)</f>
        <v>46297</v>
      </c>
      <c r="H11" s="13">
        <f>WORKDAY(Premissas!$B$5,F11)</f>
        <v>46303</v>
      </c>
      <c r="I11" s="10" t="s">
        <v>13</v>
      </c>
    </row>
    <row r="12" spans="1:9" ht="26.4" x14ac:dyDescent="0.3">
      <c r="A12" s="8">
        <v>8</v>
      </c>
      <c r="B12" s="10" t="s">
        <v>51</v>
      </c>
      <c r="C12" s="8" t="s">
        <v>41</v>
      </c>
      <c r="D12" s="8" t="s">
        <v>52</v>
      </c>
      <c r="E12" s="8">
        <f>F11+1</f>
        <v>22</v>
      </c>
      <c r="F12" s="8">
        <f>E12+Premissas!$B$8-1</f>
        <v>26</v>
      </c>
      <c r="G12" s="13">
        <f>WORKDAY(Premissas!$B$5,E12)</f>
        <v>46304</v>
      </c>
      <c r="H12" s="13">
        <f>WORKDAY(Premissas!$B$5,F12)</f>
        <v>46310</v>
      </c>
      <c r="I12" s="10" t="s">
        <v>15</v>
      </c>
    </row>
    <row r="13" spans="1:9" ht="26.4" x14ac:dyDescent="0.3">
      <c r="A13" s="8">
        <v>9</v>
      </c>
      <c r="B13" s="10" t="s">
        <v>53</v>
      </c>
      <c r="C13" s="8" t="s">
        <v>50</v>
      </c>
      <c r="D13" s="8" t="s">
        <v>52</v>
      </c>
      <c r="E13" s="8">
        <f>F12+1</f>
        <v>27</v>
      </c>
      <c r="F13" s="8">
        <f>E13+Premissas!$B$9-1</f>
        <v>29</v>
      </c>
      <c r="G13" s="13">
        <f>WORKDAY(Premissas!$B$5,E13)</f>
        <v>46311</v>
      </c>
      <c r="H13" s="13">
        <f>WORKDAY(Premissas!$B$5,F13)</f>
        <v>46315</v>
      </c>
      <c r="I13" s="10" t="s">
        <v>15</v>
      </c>
    </row>
    <row r="14" spans="1:9" ht="26.4" x14ac:dyDescent="0.3">
      <c r="A14" s="8">
        <v>10</v>
      </c>
      <c r="B14" s="10" t="s">
        <v>54</v>
      </c>
      <c r="C14" s="8" t="s">
        <v>37</v>
      </c>
      <c r="D14" s="8" t="s">
        <v>42</v>
      </c>
      <c r="E14" s="8">
        <f>F11</f>
        <v>21</v>
      </c>
      <c r="F14" s="8">
        <f>F11</f>
        <v>21</v>
      </c>
      <c r="G14" s="13">
        <f>WORKDAY(Premissas!$B$5,E14)</f>
        <v>46303</v>
      </c>
      <c r="H14" s="13">
        <f>WORKDAY(Premissas!$B$5,F14)</f>
        <v>46303</v>
      </c>
      <c r="I14" s="10" t="s">
        <v>11</v>
      </c>
    </row>
    <row r="15" spans="1:9" ht="26.4" x14ac:dyDescent="0.3">
      <c r="A15" s="8">
        <v>11</v>
      </c>
      <c r="B15" s="10" t="s">
        <v>55</v>
      </c>
      <c r="C15" s="8" t="s">
        <v>37</v>
      </c>
      <c r="D15" s="8" t="s">
        <v>42</v>
      </c>
      <c r="E15" s="8">
        <f>F13</f>
        <v>29</v>
      </c>
      <c r="F15" s="8">
        <f>F13</f>
        <v>29</v>
      </c>
      <c r="G15" s="13">
        <f>WORKDAY(Premissas!$B$5,E15)</f>
        <v>46315</v>
      </c>
      <c r="H15" s="13">
        <f>WORKDAY(Premissas!$B$5,F15)</f>
        <v>46315</v>
      </c>
      <c r="I15" s="10" t="s">
        <v>56</v>
      </c>
    </row>
    <row r="16" spans="1:9" ht="26.4" x14ac:dyDescent="0.3">
      <c r="A16" s="8">
        <v>12</v>
      </c>
      <c r="B16" s="10" t="s">
        <v>57</v>
      </c>
      <c r="C16" s="8" t="s">
        <v>41</v>
      </c>
      <c r="D16" s="8" t="s">
        <v>58</v>
      </c>
      <c r="E16" s="8" t="s">
        <v>58</v>
      </c>
      <c r="F16" s="8" t="s">
        <v>58</v>
      </c>
      <c r="G16" s="13" t="s">
        <v>58</v>
      </c>
      <c r="H16" s="13" t="s">
        <v>58</v>
      </c>
      <c r="I16" s="10" t="s">
        <v>59</v>
      </c>
    </row>
    <row r="17" spans="1:9" ht="26.4" x14ac:dyDescent="0.3">
      <c r="A17" s="8">
        <v>13</v>
      </c>
      <c r="B17" s="10" t="s">
        <v>60</v>
      </c>
      <c r="C17" s="8" t="s">
        <v>41</v>
      </c>
      <c r="D17" s="8" t="s">
        <v>61</v>
      </c>
      <c r="E17" s="8" t="s">
        <v>62</v>
      </c>
      <c r="F17" s="8" t="s">
        <v>62</v>
      </c>
      <c r="G17" s="13">
        <f>H15+1</f>
        <v>46316</v>
      </c>
      <c r="H17" s="13">
        <f>G17+Premissas!$B$10-1</f>
        <v>46345</v>
      </c>
      <c r="I17" s="10" t="s">
        <v>63</v>
      </c>
    </row>
    <row r="19" spans="1:9" x14ac:dyDescent="0.3">
      <c r="A19" s="4" t="s">
        <v>64</v>
      </c>
      <c r="B19" s="4"/>
      <c r="C19" s="4"/>
      <c r="D19" s="4"/>
      <c r="E19" s="1" t="str">
        <f>IF(F15&lt;=Premissas!$B$6,"OK — pior caso dentro do prazo contratual de "&amp;Premissas!$B$6&amp;" dias úteis (dia útil "&amp;F15&amp;")","FORA DO PRAZO — revisar Premissas ou o contrato")</f>
        <v>OK — pior caso dentro do prazo contratual de 30 dias úteis (dia útil 29)</v>
      </c>
      <c r="F19" s="1"/>
      <c r="G19" s="1"/>
      <c r="H19" s="1"/>
      <c r="I19" s="1"/>
    </row>
    <row r="21" spans="1:9" ht="60" customHeight="1" x14ac:dyDescent="0.3">
      <c r="A21" s="2" t="s">
        <v>65</v>
      </c>
      <c r="B21" s="2"/>
      <c r="C21" s="2"/>
      <c r="D21" s="2"/>
      <c r="E21" s="2"/>
      <c r="F21" s="2"/>
      <c r="G21" s="2"/>
      <c r="H21" s="2"/>
      <c r="I21" s="2"/>
    </row>
  </sheetData>
  <mergeCells count="5">
    <mergeCell ref="A1:I1"/>
    <mergeCell ref="A2:I2"/>
    <mergeCell ref="A19:D19"/>
    <mergeCell ref="E19:I19"/>
    <mergeCell ref="A21:I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Premissas</vt:lpstr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IPatrick Chieza</cp:lastModifiedBy>
  <cp:revision>0</cp:revision>
  <dcterms:created xsi:type="dcterms:W3CDTF">2026-09-10T00:05:59Z</dcterms:created>
  <dcterms:modified xsi:type="dcterms:W3CDTF">2026-09-10T11:35:15Z</dcterms:modified>
  <dc:language>en-US</dc:language>
</cp:coreProperties>
</file>